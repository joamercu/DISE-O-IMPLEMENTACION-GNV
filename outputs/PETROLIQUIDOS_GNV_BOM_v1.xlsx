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BOM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  <c r="D1" s="1" t="inlineStr">
        <is>
          <t>Confianza</t>
        </is>
      </c>
      <c r="E1" s="1" t="inlineStr">
        <is>
          <t>Fuente</t>
        </is>
      </c>
      <c r="F1" s="1" t="inlineStr">
        <is>
          <t>Notas</t>
        </is>
      </c>
    </row>
    <row r="2">
      <c r="A2" t="inlineStr">
        <is>
          <t>Tipo de vehículo - Tractor 4x2</t>
        </is>
      </c>
      <c r="B2" t="inlineStr">
        <is>
          <t>Tractor 4x2</t>
        </is>
      </c>
      <c r="C2" t="inlineStr">
        <is>
          <t>-</t>
        </is>
      </c>
      <c r="D2" t="inlineStr">
        <is>
          <t>Alta</t>
        </is>
      </c>
      <c r="E2" t="inlineStr">
        <is>
          <t>Cliente</t>
        </is>
      </c>
      <c r="F2" t="inlineStr"/>
    </row>
    <row r="3">
      <c r="A3" t="inlineStr">
        <is>
          <t>Tipo de vehículo - Tractor 6x4</t>
        </is>
      </c>
      <c r="B3" t="inlineStr">
        <is>
          <t>Tractor 6x4</t>
        </is>
      </c>
      <c r="C3" t="inlineStr">
        <is>
          <t>-</t>
        </is>
      </c>
      <c r="D3" t="inlineStr">
        <is>
          <t>Alta</t>
        </is>
      </c>
      <c r="E3" t="inlineStr">
        <is>
          <t>Cliente</t>
        </is>
      </c>
      <c r="F3" t="inlineStr"/>
    </row>
    <row r="4">
      <c r="A4" t="inlineStr">
        <is>
          <t>Tipo de vehículo - Volqueta 6x4</t>
        </is>
      </c>
      <c r="B4" t="inlineStr">
        <is>
          <t>Volqueta 6x4</t>
        </is>
      </c>
      <c r="C4" t="inlineStr">
        <is>
          <t>-</t>
        </is>
      </c>
      <c r="D4" t="inlineStr">
        <is>
          <t>Alta</t>
        </is>
      </c>
      <c r="E4" t="inlineStr">
        <is>
          <t>Cliente</t>
        </is>
      </c>
      <c r="F4" t="inlineStr"/>
    </row>
    <row r="5">
      <c r="A5" t="inlineStr">
        <is>
          <t>Consumo diésel Tractor 4x2</t>
        </is>
      </c>
      <c r="B5" t="n">
        <v>35</v>
      </c>
      <c r="C5" t="inlineStr">
        <is>
          <t>L/100km</t>
        </is>
      </c>
      <c r="D5" t="inlineStr">
        <is>
          <t>Media</t>
        </is>
      </c>
      <c r="E5" t="inlineStr">
        <is>
          <t>Estimación</t>
        </is>
      </c>
      <c r="F5" t="inlineStr">
        <is>
          <t>ASUNTO: SUPUESTO</t>
        </is>
      </c>
    </row>
    <row r="6">
      <c r="A6" t="inlineStr">
        <is>
          <t>Consumo diésel Tractor 6x4</t>
        </is>
      </c>
      <c r="B6" t="n">
        <v>40</v>
      </c>
      <c r="C6" t="inlineStr">
        <is>
          <t>L/100km</t>
        </is>
      </c>
      <c r="D6" t="inlineStr">
        <is>
          <t>Media</t>
        </is>
      </c>
      <c r="E6" t="inlineStr">
        <is>
          <t>Estimación</t>
        </is>
      </c>
      <c r="F6" t="inlineStr">
        <is>
          <t>ASUNTO: SUPUESTO</t>
        </is>
      </c>
    </row>
    <row r="7">
      <c r="A7" t="inlineStr">
        <is>
          <t>Consumo diésel Volqueta 6x4</t>
        </is>
      </c>
      <c r="B7" t="n">
        <v>45</v>
      </c>
      <c r="C7" t="inlineStr">
        <is>
          <t>L/100km</t>
        </is>
      </c>
      <c r="D7" t="inlineStr">
        <is>
          <t>Media</t>
        </is>
      </c>
      <c r="E7" t="inlineStr">
        <is>
          <t>Estimación</t>
        </is>
      </c>
      <c r="F7" t="inlineStr">
        <is>
          <t>ASUNTO: SUPUESTO</t>
        </is>
      </c>
    </row>
    <row r="8">
      <c r="A8" t="inlineStr">
        <is>
          <t>Autonomía Tractor 4x2</t>
        </is>
      </c>
      <c r="B8" t="n">
        <v>800</v>
      </c>
      <c r="C8" t="inlineStr">
        <is>
          <t>km</t>
        </is>
      </c>
      <c r="D8" t="inlineStr">
        <is>
          <t>Baja</t>
        </is>
      </c>
      <c r="E8" t="inlineStr">
        <is>
          <t>Estimación</t>
        </is>
      </c>
      <c r="F8" t="inlineStr">
        <is>
          <t>ASUNTO: SUPUESTO - Validar con cliente</t>
        </is>
      </c>
    </row>
    <row r="9">
      <c r="A9" t="inlineStr">
        <is>
          <t>Autonomía Tractor 6x4</t>
        </is>
      </c>
      <c r="B9" t="n">
        <v>700</v>
      </c>
      <c r="C9" t="inlineStr">
        <is>
          <t>km</t>
        </is>
      </c>
      <c r="D9" t="inlineStr">
        <is>
          <t>Baja</t>
        </is>
      </c>
      <c r="E9" t="inlineStr">
        <is>
          <t>Estimación</t>
        </is>
      </c>
      <c r="F9" t="inlineStr">
        <is>
          <t>ASUNTO: SUPUESTO - Validar con cliente</t>
        </is>
      </c>
    </row>
    <row r="10">
      <c r="A10" t="inlineStr">
        <is>
          <t>Autonomía Volqueta 6x4</t>
        </is>
      </c>
      <c r="B10" t="n">
        <v>600</v>
      </c>
      <c r="C10" t="inlineStr">
        <is>
          <t>km</t>
        </is>
      </c>
      <c r="D10" t="inlineStr">
        <is>
          <t>Baja</t>
        </is>
      </c>
      <c r="E10" t="inlineStr">
        <is>
          <t>Estimación</t>
        </is>
      </c>
      <c r="F10" t="inlineStr">
        <is>
          <t>ASUNTO: SUPUESTO - Validar con cliente</t>
        </is>
      </c>
    </row>
    <row r="11">
      <c r="A11" t="inlineStr">
        <is>
          <t>Poder calorífico diésel</t>
        </is>
      </c>
      <c r="B11" t="n">
        <v>35.8</v>
      </c>
      <c r="C11" t="inlineStr">
        <is>
          <t>MJ/L</t>
        </is>
      </c>
      <c r="D11" t="inlineStr">
        <is>
          <t>Alta</t>
        </is>
      </c>
      <c r="E11" t="inlineStr">
        <is>
          <t>ASTM D975</t>
        </is>
      </c>
      <c r="F11" t="inlineStr"/>
    </row>
    <row r="12">
      <c r="A12" t="inlineStr">
        <is>
          <t>LHV CH4 (poder calorífico inferior)</t>
        </is>
      </c>
      <c r="B12" t="n">
        <v>50</v>
      </c>
      <c r="C12" t="inlineStr">
        <is>
          <t>MJ/kg</t>
        </is>
      </c>
      <c r="D12" t="inlineStr">
        <is>
          <t>Alta</t>
        </is>
      </c>
      <c r="E12" t="inlineStr">
        <is>
          <t>ISO 6976:2016</t>
        </is>
      </c>
      <c r="F12" t="inlineStr"/>
    </row>
    <row r="13">
      <c r="A13" t="inlineStr">
        <is>
          <t>Presión de llenado tanques</t>
        </is>
      </c>
      <c r="B13" t="n">
        <v>200</v>
      </c>
      <c r="C13" t="inlineStr">
        <is>
          <t>bar</t>
        </is>
      </c>
      <c r="D13" t="inlineStr">
        <is>
          <t>Alta</t>
        </is>
      </c>
      <c r="E13" t="inlineStr">
        <is>
          <t>UNECE R110</t>
        </is>
      </c>
      <c r="F13" t="inlineStr">
        <is>
          <t>Estándar Colombia</t>
        </is>
      </c>
    </row>
    <row r="14">
      <c r="A14" t="inlineStr">
        <is>
          <t>Presión de llenado tanques (psi)</t>
        </is>
      </c>
      <c r="B14" t="n">
        <v>2900</v>
      </c>
      <c r="C14" t="inlineStr">
        <is>
          <t>psi</t>
        </is>
      </c>
      <c r="D14" t="inlineStr">
        <is>
          <t>Alta</t>
        </is>
      </c>
      <c r="E14" t="inlineStr">
        <is>
          <t>Conversión</t>
        </is>
      </c>
      <c r="F14" t="inlineStr">
        <is>
          <t>200 bar × 14.5</t>
        </is>
      </c>
    </row>
    <row r="15">
      <c r="A15" t="inlineStr">
        <is>
          <t>Temperatura de operación</t>
        </is>
      </c>
      <c r="B15" t="n">
        <v>25</v>
      </c>
      <c r="C15" t="inlineStr">
        <is>
          <t>°C</t>
        </is>
      </c>
      <c r="D15" t="inlineStr">
        <is>
          <t>Alta</t>
        </is>
      </c>
      <c r="E15" t="inlineStr">
        <is>
          <t>Condiciones estándar</t>
        </is>
      </c>
      <c r="F15" t="inlineStr"/>
    </row>
    <row r="16">
      <c r="A16" t="inlineStr">
        <is>
          <t>Temperatura de operación (K)</t>
        </is>
      </c>
      <c r="B16" t="n">
        <v>298</v>
      </c>
      <c r="C16" t="inlineStr">
        <is>
          <t>K</t>
        </is>
      </c>
      <c r="D16" t="inlineStr">
        <is>
          <t>Alta</t>
        </is>
      </c>
      <c r="E16" t="inlineStr">
        <is>
          <t>Conversión</t>
        </is>
      </c>
      <c r="F16" t="inlineStr">
        <is>
          <t>25°C + 273.15</t>
        </is>
      </c>
    </row>
    <row r="17">
      <c r="A17" t="inlineStr">
        <is>
          <t>Factor de compresibilidad Z</t>
        </is>
      </c>
      <c r="B17" t="n">
        <v>0.85</v>
      </c>
      <c r="C17" t="inlineStr">
        <is>
          <t>-</t>
        </is>
      </c>
      <c r="D17" t="inlineStr">
        <is>
          <t>Media</t>
        </is>
      </c>
      <c r="E17" t="inlineStr">
        <is>
          <t>NIST Chemistry WebBook</t>
        </is>
      </c>
      <c r="F17" t="inlineStr">
        <is>
          <t>CH4 a 200 bar, 25°C</t>
        </is>
      </c>
    </row>
    <row r="18">
      <c r="A18" t="inlineStr">
        <is>
          <t>Masa molar CH4</t>
        </is>
      </c>
      <c r="B18" t="n">
        <v>16.04</v>
      </c>
      <c r="C18" t="inlineStr">
        <is>
          <t>g/mol</t>
        </is>
      </c>
      <c r="D18" t="inlineStr">
        <is>
          <t>Alta</t>
        </is>
      </c>
      <c r="E18" t="inlineStr">
        <is>
          <t>Constante física</t>
        </is>
      </c>
      <c r="F18" t="inlineStr"/>
    </row>
    <row r="19">
      <c r="A19" t="inlineStr">
        <is>
          <t>Constante universal gases R</t>
        </is>
      </c>
      <c r="B19" t="n">
        <v>8.314</v>
      </c>
      <c r="C19" t="inlineStr">
        <is>
          <t>J/(mol·K)</t>
        </is>
      </c>
      <c r="D19" t="inlineStr">
        <is>
          <t>Alta</t>
        </is>
      </c>
      <c r="E19" t="inlineStr">
        <is>
          <t>Constante física</t>
        </is>
      </c>
      <c r="F19" t="inlineStr"/>
    </row>
    <row r="20">
      <c r="A20" t="inlineStr">
        <is>
          <t>Eficiencia conversión GNV vs diésel</t>
        </is>
      </c>
      <c r="B20" t="n">
        <v>0.95</v>
      </c>
      <c r="C20" t="inlineStr">
        <is>
          <t>-</t>
        </is>
      </c>
      <c r="D20" t="inlineStr">
        <is>
          <t>Media</t>
        </is>
      </c>
      <c r="E20" t="inlineStr">
        <is>
          <t>Estimación</t>
        </is>
      </c>
      <c r="F20" t="inlineStr">
        <is>
          <t>ASUNTO: SUPUESTO</t>
        </is>
      </c>
    </row>
    <row r="21">
      <c r="A21" t="inlineStr">
        <is>
          <t>Volumen unitario tanque tipo 3</t>
        </is>
      </c>
      <c r="B21" t="n">
        <v>0.08</v>
      </c>
      <c r="C21" t="inlineStr">
        <is>
          <t>m³</t>
        </is>
      </c>
      <c r="D21" t="inlineStr">
        <is>
          <t>Media</t>
        </is>
      </c>
      <c r="E21" t="inlineStr">
        <is>
          <t>Proveedores</t>
        </is>
      </c>
      <c r="F21" t="inlineStr">
        <is>
          <t>ASUNTO: SUPUESTO - Confirmar</t>
        </is>
      </c>
    </row>
    <row r="22">
      <c r="A22" t="inlineStr">
        <is>
          <t>Peso unitario tanque tipo 3 (vacío)</t>
        </is>
      </c>
      <c r="B22" t="n">
        <v>65</v>
      </c>
      <c r="C22" t="inlineStr">
        <is>
          <t>kg</t>
        </is>
      </c>
      <c r="D22" t="inlineStr">
        <is>
          <t>Media</t>
        </is>
      </c>
      <c r="E22" t="inlineStr">
        <is>
          <t>Proveedores</t>
        </is>
      </c>
      <c r="F22" t="inlineStr">
        <is>
          <t>ASUNTO: SUPUESTO - Confirmar</t>
        </is>
      </c>
    </row>
    <row r="23">
      <c r="A23" t="inlineStr">
        <is>
          <t>Peso soportes por tanque</t>
        </is>
      </c>
      <c r="B23" t="n">
        <v>10</v>
      </c>
      <c r="C23" t="inlineStr">
        <is>
          <t>kg</t>
        </is>
      </c>
      <c r="D23" t="inlineStr">
        <is>
          <t>Baja</t>
        </is>
      </c>
      <c r="E23" t="inlineStr">
        <is>
          <t>Estimación</t>
        </is>
      </c>
      <c r="F23" t="inlineStr">
        <is>
          <t>ASUNTO: SUPUESTO</t>
        </is>
      </c>
    </row>
    <row r="24">
      <c r="A24" t="inlineStr">
        <is>
          <t>Peso accesorios por tanque</t>
        </is>
      </c>
      <c r="B24" t="n">
        <v>5</v>
      </c>
      <c r="C24" t="inlineStr">
        <is>
          <t>kg</t>
        </is>
      </c>
      <c r="D24" t="inlineStr">
        <is>
          <t>Baja</t>
        </is>
      </c>
      <c r="E24" t="inlineStr">
        <is>
          <t>Estimación</t>
        </is>
      </c>
      <c r="F24" t="inlineStr">
        <is>
          <t>ASUNTO: SUPUESTO</t>
        </is>
      </c>
    </row>
    <row r="25">
      <c r="A25" t="inlineStr">
        <is>
          <t>Tasa de cambio USD/COP</t>
        </is>
      </c>
      <c r="B25" t="n">
        <v>4000</v>
      </c>
      <c r="C25" t="inlineStr">
        <is>
          <t>COP/USD</t>
        </is>
      </c>
      <c r="D25" t="inlineStr">
        <is>
          <t>Baja</t>
        </is>
      </c>
      <c r="E25" t="inlineStr">
        <is>
          <t>Estimación</t>
        </is>
      </c>
      <c r="F25" t="inlineStr">
        <is>
          <t>ASUNTO: Actualizar al momento de cotización</t>
        </is>
      </c>
    </row>
    <row r="26">
      <c r="A26" t="inlineStr">
        <is>
          <t>Contingencia %</t>
        </is>
      </c>
      <c r="B26" t="n">
        <v>15</v>
      </c>
      <c r="C26" t="inlineStr">
        <is>
          <t>%</t>
        </is>
      </c>
      <c r="D26" t="inlineStr">
        <is>
          <t>Media</t>
        </is>
      </c>
      <c r="E26" t="inlineStr">
        <is>
          <t>Estándar proyecto</t>
        </is>
      </c>
      <c r="F26" t="inlineStr"/>
    </row>
    <row r="27">
      <c r="A27" t="inlineStr">
        <is>
          <t>Margen %</t>
        </is>
      </c>
      <c r="B27" t="n">
        <v>20</v>
      </c>
      <c r="C27" t="inlineStr">
        <is>
          <t>%</t>
        </is>
      </c>
      <c r="D27" t="inlineStr">
        <is>
          <t>Media</t>
        </is>
      </c>
      <c r="E27" t="inlineStr">
        <is>
          <t>Estándar proyecto</t>
        </is>
      </c>
      <c r="F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Configuración</t>
        </is>
      </c>
      <c r="B1" s="1" t="inlineStr">
        <is>
          <t>Parámetro</t>
        </is>
      </c>
      <c r="C1" s="1" t="inlineStr">
        <is>
          <t>Valor</t>
        </is>
      </c>
      <c r="D1" s="1" t="inlineStr">
        <is>
          <t>Unidad</t>
        </is>
      </c>
      <c r="E1" s="1" t="inlineStr">
        <is>
          <t>Fórmula</t>
        </is>
      </c>
    </row>
    <row r="2">
      <c r="A2" t="inlineStr">
        <is>
          <t>Tractor 4x2</t>
        </is>
      </c>
      <c r="B2" t="inlineStr">
        <is>
          <t>Volumen diésel equivalente</t>
        </is>
      </c>
      <c r="C2" t="n">
        <v>280</v>
      </c>
      <c r="D2" t="inlineStr">
        <is>
          <t>L</t>
        </is>
      </c>
      <c r="E2">
        <f>35 * 800 / 100</f>
        <v/>
      </c>
    </row>
    <row r="3">
      <c r="A3" t="inlineStr">
        <is>
          <t>Tractor 4x2</t>
        </is>
      </c>
      <c r="B3" t="inlineStr">
        <is>
          <t>Energía requerida</t>
        </is>
      </c>
      <c r="C3" t="n">
        <v>10024</v>
      </c>
      <c r="D3" t="inlineStr">
        <is>
          <t>MJ</t>
        </is>
      </c>
      <c r="E3">
        <f>280.0 * 35.8</f>
        <v/>
      </c>
    </row>
    <row r="4">
      <c r="A4" t="inlineStr">
        <is>
          <t>Tractor 4x2</t>
        </is>
      </c>
      <c r="B4" t="inlineStr">
        <is>
          <t>Masa CH4 requerida</t>
        </is>
      </c>
      <c r="C4" t="n">
        <v>200.48</v>
      </c>
      <c r="D4" t="inlineStr">
        <is>
          <t>kg</t>
        </is>
      </c>
      <c r="E4">
        <f>10024.0 / 50.0</f>
        <v/>
      </c>
    </row>
    <row r="5">
      <c r="A5" t="inlineStr">
        <is>
          <t>Tractor 4x2</t>
        </is>
      </c>
      <c r="B5" t="inlineStr">
        <is>
          <t>Volumen gas a 200 bar</t>
        </is>
      </c>
      <c r="C5" t="n">
        <v>1.821562397535573</v>
      </c>
      <c r="D5" t="inlineStr">
        <is>
          <t>m³</t>
        </is>
      </c>
      <c r="E5">
        <f>(200.48 * 8.314 * 298) / (20000000 * 0.01604 * 0.85)</f>
        <v/>
      </c>
    </row>
    <row r="6">
      <c r="A6" t="inlineStr">
        <is>
          <t>Tractor 4x2</t>
        </is>
      </c>
      <c r="B6" t="inlineStr">
        <is>
          <t>Número de tanques</t>
        </is>
      </c>
      <c r="C6" t="n">
        <v>23</v>
      </c>
      <c r="D6" t="inlineStr">
        <is>
          <t>unidades</t>
        </is>
      </c>
      <c r="E6">
        <f>CEILING(1.8215623975355728 / 0.080, 1)</f>
        <v/>
      </c>
    </row>
    <row r="7">
      <c r="A7" t="inlineStr">
        <is>
          <t>Tractor 4x2</t>
        </is>
      </c>
      <c r="B7" t="inlineStr">
        <is>
          <t>Peso adicional</t>
        </is>
      </c>
      <c r="C7" t="n">
        <v>1840</v>
      </c>
      <c r="D7" t="inlineStr">
        <is>
          <t>kg</t>
        </is>
      </c>
      <c r="E7">
        <f>23 * (65 + 10 + 5)</f>
        <v/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Tractor 6x4</t>
        </is>
      </c>
      <c r="B9" t="inlineStr">
        <is>
          <t>Volumen diésel equivalente</t>
        </is>
      </c>
      <c r="C9" t="n">
        <v>280</v>
      </c>
      <c r="D9" t="inlineStr">
        <is>
          <t>L</t>
        </is>
      </c>
      <c r="E9">
        <f>40 * 700 / 100</f>
        <v/>
      </c>
    </row>
    <row r="10">
      <c r="A10" t="inlineStr">
        <is>
          <t>Tractor 6x4</t>
        </is>
      </c>
      <c r="B10" t="inlineStr">
        <is>
          <t>Energía requerida</t>
        </is>
      </c>
      <c r="C10" t="n">
        <v>10024</v>
      </c>
      <c r="D10" t="inlineStr">
        <is>
          <t>MJ</t>
        </is>
      </c>
      <c r="E10">
        <f>280.0 * 35.8</f>
        <v/>
      </c>
    </row>
    <row r="11">
      <c r="A11" t="inlineStr">
        <is>
          <t>Tractor 6x4</t>
        </is>
      </c>
      <c r="B11" t="inlineStr">
        <is>
          <t>Masa CH4 requerida</t>
        </is>
      </c>
      <c r="C11" t="n">
        <v>200.48</v>
      </c>
      <c r="D11" t="inlineStr">
        <is>
          <t>kg</t>
        </is>
      </c>
      <c r="E11">
        <f>10024.0 / 50.0</f>
        <v/>
      </c>
    </row>
    <row r="12">
      <c r="A12" t="inlineStr">
        <is>
          <t>Tractor 6x4</t>
        </is>
      </c>
      <c r="B12" t="inlineStr">
        <is>
          <t>Volumen gas a 200 bar</t>
        </is>
      </c>
      <c r="C12" t="n">
        <v>1.821562397535573</v>
      </c>
      <c r="D12" t="inlineStr">
        <is>
          <t>m³</t>
        </is>
      </c>
      <c r="E12">
        <f>(200.48 * 8.314 * 298) / (20000000 * 0.01604 * 0.85)</f>
        <v/>
      </c>
    </row>
    <row r="13">
      <c r="A13" t="inlineStr">
        <is>
          <t>Tractor 6x4</t>
        </is>
      </c>
      <c r="B13" t="inlineStr">
        <is>
          <t>Número de tanques</t>
        </is>
      </c>
      <c r="C13" t="n">
        <v>23</v>
      </c>
      <c r="D13" t="inlineStr">
        <is>
          <t>unidades</t>
        </is>
      </c>
      <c r="E13">
        <f>CEILING(1.8215623975355728 / 0.080, 1)</f>
        <v/>
      </c>
    </row>
    <row r="14">
      <c r="A14" t="inlineStr">
        <is>
          <t>Tractor 6x4</t>
        </is>
      </c>
      <c r="B14" t="inlineStr">
        <is>
          <t>Peso adicional</t>
        </is>
      </c>
      <c r="C14" t="n">
        <v>1840</v>
      </c>
      <c r="D14" t="inlineStr">
        <is>
          <t>kg</t>
        </is>
      </c>
      <c r="E14">
        <f>23 * (65 + 10 + 5)</f>
        <v/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Volqueta 6x4</t>
        </is>
      </c>
      <c r="B16" t="inlineStr">
        <is>
          <t>Volumen diésel equivalente</t>
        </is>
      </c>
      <c r="C16" t="n">
        <v>270</v>
      </c>
      <c r="D16" t="inlineStr">
        <is>
          <t>L</t>
        </is>
      </c>
      <c r="E16">
        <f>45 * 600 / 100</f>
        <v/>
      </c>
    </row>
    <row r="17">
      <c r="A17" t="inlineStr">
        <is>
          <t>Volqueta 6x4</t>
        </is>
      </c>
      <c r="B17" t="inlineStr">
        <is>
          <t>Energía requerida</t>
        </is>
      </c>
      <c r="C17" t="n">
        <v>9666</v>
      </c>
      <c r="D17" t="inlineStr">
        <is>
          <t>MJ</t>
        </is>
      </c>
      <c r="E17">
        <f>270.0 * 35.8</f>
        <v/>
      </c>
    </row>
    <row r="18">
      <c r="A18" t="inlineStr">
        <is>
          <t>Volqueta 6x4</t>
        </is>
      </c>
      <c r="B18" t="inlineStr">
        <is>
          <t>Masa CH4 requerida</t>
        </is>
      </c>
      <c r="C18" t="n">
        <v>193.32</v>
      </c>
      <c r="D18" t="inlineStr">
        <is>
          <t>kg</t>
        </is>
      </c>
      <c r="E18">
        <f>9666.0 / 50.0</f>
        <v/>
      </c>
    </row>
    <row r="19">
      <c r="A19" t="inlineStr">
        <is>
          <t>Volqueta 6x4</t>
        </is>
      </c>
      <c r="B19" t="inlineStr">
        <is>
          <t>Volumen gas a 200 bar</t>
        </is>
      </c>
      <c r="C19" t="n">
        <v>1.756506597623588</v>
      </c>
      <c r="D19" t="inlineStr">
        <is>
          <t>m³</t>
        </is>
      </c>
      <c r="E19">
        <f>(193.32 * 8.314 * 298) / (20000000 * 0.01604 * 0.85)</f>
        <v/>
      </c>
    </row>
    <row r="20">
      <c r="A20" t="inlineStr">
        <is>
          <t>Volqueta 6x4</t>
        </is>
      </c>
      <c r="B20" t="inlineStr">
        <is>
          <t>Número de tanques</t>
        </is>
      </c>
      <c r="C20" t="n">
        <v>22</v>
      </c>
      <c r="D20" t="inlineStr">
        <is>
          <t>unidades</t>
        </is>
      </c>
      <c r="E20">
        <f>CEILING(1.7565065976235879 / 0.080, 1)</f>
        <v/>
      </c>
    </row>
    <row r="21">
      <c r="A21" t="inlineStr">
        <is>
          <t>Volqueta 6x4</t>
        </is>
      </c>
      <c r="B21" t="inlineStr">
        <is>
          <t>Peso adicional</t>
        </is>
      </c>
      <c r="C21" t="n">
        <v>1760</v>
      </c>
      <c r="D21" t="inlineStr">
        <is>
          <t>kg</t>
        </is>
      </c>
      <c r="E21">
        <f>22 * (65 + 10 + 5)</f>
        <v/>
      </c>
    </row>
    <row r="22">
      <c r="A22" t="inlineStr"/>
      <c r="B22" t="inlineStr"/>
      <c r="C22" t="inlineStr"/>
      <c r="D22" t="inlineStr"/>
      <c r="E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Item</t>
        </is>
      </c>
      <c r="B1" s="1" t="inlineStr">
        <is>
          <t>Descripción Técnica</t>
        </is>
      </c>
      <c r="C1" s="1" t="inlineStr">
        <is>
          <t>Cantidad</t>
        </is>
      </c>
      <c r="D1" s="1" t="inlineStr">
        <is>
          <t>Unidad</t>
        </is>
      </c>
      <c r="E1" s="1" t="inlineStr">
        <is>
          <t>Precio Unitario USD</t>
        </is>
      </c>
      <c r="F1" s="1" t="inlineStr">
        <is>
          <t>Precio Unitario COP</t>
        </is>
      </c>
      <c r="G1" s="1" t="inlineStr">
        <is>
          <t>Total USD</t>
        </is>
      </c>
      <c r="H1" s="1" t="inlineStr">
        <is>
          <t>Total COP</t>
        </is>
      </c>
      <c r="I1" s="1" t="inlineStr">
        <is>
          <t>Lead Time (semanas)</t>
        </is>
      </c>
      <c r="J1" s="1" t="inlineStr">
        <is>
          <t>Proveedor Sugerido</t>
        </is>
      </c>
      <c r="K1" s="1" t="inlineStr">
        <is>
          <t>Part Number/URL</t>
        </is>
      </c>
      <c r="L1" s="1" t="inlineStr">
        <is>
          <t>Notas</t>
        </is>
      </c>
    </row>
    <row r="2">
      <c r="A2" t="n">
        <v>1</v>
      </c>
      <c r="B2" t="inlineStr">
        <is>
          <t>Tanque CNG Tipo 3, 80L, 200 bar, UNECE R110</t>
        </is>
      </c>
      <c r="C2" t="n">
        <v>23</v>
      </c>
      <c r="D2" t="inlineStr">
        <is>
          <t>unidad</t>
        </is>
      </c>
      <c r="E2" t="n">
        <v>850</v>
      </c>
      <c r="F2" t="n">
        <v>3400000</v>
      </c>
      <c r="G2">
        <f>C2*E2</f>
        <v/>
      </c>
      <c r="H2">
        <f>C2*F2</f>
        <v/>
      </c>
      <c r="I2" t="n">
        <v>8</v>
      </c>
      <c r="J2" t="inlineStr">
        <is>
          <t>Luxfer / Hexagon</t>
        </is>
      </c>
      <c r="K2" t="inlineStr">
        <is>
          <t>LX-80-200</t>
        </is>
      </c>
      <c r="L2" t="inlineStr">
        <is>
          <t>Confirmar precio y disponibilidad</t>
        </is>
      </c>
    </row>
    <row r="3">
      <c r="A3" t="n">
        <v>2</v>
      </c>
      <c r="B3" t="inlineStr">
        <is>
          <t>Soporte tanque tipo 3 (set completo)</t>
        </is>
      </c>
      <c r="C3" t="n">
        <v>23</v>
      </c>
      <c r="D3" t="inlineStr">
        <is>
          <t>set</t>
        </is>
      </c>
      <c r="E3" t="n">
        <v>120</v>
      </c>
      <c r="F3" t="n">
        <v>480000</v>
      </c>
      <c r="G3">
        <f>C3*E3</f>
        <v/>
      </c>
      <c r="H3">
        <f>C3*F3</f>
        <v/>
      </c>
      <c r="I3" t="n">
        <v>6</v>
      </c>
      <c r="J3" t="inlineStr">
        <is>
          <t>Luxfer / Hexagon</t>
        </is>
      </c>
      <c r="K3" t="inlineStr">
        <is>
          <t>SUP-80-3</t>
        </is>
      </c>
      <c r="L3" t="inlineStr"/>
    </row>
    <row r="4">
      <c r="A4" t="n">
        <v>3</v>
      </c>
      <c r="B4" t="inlineStr">
        <is>
          <t>Regulador 1ra etapa, 200-250 bar → 20-40 bar, con calentador</t>
        </is>
      </c>
      <c r="C4" t="n">
        <v>1</v>
      </c>
      <c r="D4" t="inlineStr">
        <is>
          <t>unidad</t>
        </is>
      </c>
      <c r="E4" t="n">
        <v>1200</v>
      </c>
      <c r="F4" t="n">
        <v>4800000</v>
      </c>
      <c r="G4">
        <f>C4*E4</f>
        <v/>
      </c>
      <c r="H4">
        <f>C4*F4</f>
        <v/>
      </c>
      <c r="I4" t="n">
        <v>6</v>
      </c>
      <c r="J4" t="inlineStr">
        <is>
          <t>IMPCO / BRC</t>
        </is>
      </c>
      <c r="K4" t="inlineStr">
        <is>
          <t>REG-1-200</t>
        </is>
      </c>
      <c r="L4" t="inlineStr"/>
    </row>
    <row r="5">
      <c r="A5" t="n">
        <v>4</v>
      </c>
      <c r="B5" t="inlineStr">
        <is>
          <t>Regulador 2da etapa, 20-40 bar → 7-10 bar</t>
        </is>
      </c>
      <c r="C5" t="n">
        <v>1</v>
      </c>
      <c r="D5" t="inlineStr">
        <is>
          <t>unidad</t>
        </is>
      </c>
      <c r="E5" t="n">
        <v>800</v>
      </c>
      <c r="F5" t="n">
        <v>3200000</v>
      </c>
      <c r="G5">
        <f>C5*E5</f>
        <v/>
      </c>
      <c r="H5">
        <f>C5*F5</f>
        <v/>
      </c>
      <c r="I5" t="n">
        <v>6</v>
      </c>
      <c r="J5" t="inlineStr">
        <is>
          <t>IMPCO / BRC</t>
        </is>
      </c>
      <c r="K5" t="inlineStr">
        <is>
          <t>REG-2-20</t>
        </is>
      </c>
      <c r="L5" t="inlineStr"/>
    </row>
    <row r="6">
      <c r="A6" t="n">
        <v>5</v>
      </c>
      <c r="B6" t="inlineStr">
        <is>
          <t>Filtro de gas, alta presión</t>
        </is>
      </c>
      <c r="C6" t="n">
        <v>1</v>
      </c>
      <c r="D6" t="inlineStr">
        <is>
          <t>unidad</t>
        </is>
      </c>
      <c r="E6" t="n">
        <v>150</v>
      </c>
      <c r="F6" t="n">
        <v>600000</v>
      </c>
      <c r="G6">
        <f>C6*E6</f>
        <v/>
      </c>
      <c r="H6">
        <f>C6*F6</f>
        <v/>
      </c>
      <c r="I6" t="n">
        <v>4</v>
      </c>
      <c r="J6" t="inlineStr">
        <is>
          <t>IMPCO / BRC</t>
        </is>
      </c>
      <c r="K6" t="inlineStr">
        <is>
          <t>FIL-HP-200</t>
        </is>
      </c>
      <c r="L6" t="inlineStr"/>
    </row>
    <row r="7">
      <c r="A7" t="n">
        <v>6</v>
      </c>
      <c r="B7" t="inlineStr">
        <is>
          <t>Válvula shut-off automática, 200 bar</t>
        </is>
      </c>
      <c r="C7" t="n">
        <v>1</v>
      </c>
      <c r="D7" t="inlineStr">
        <is>
          <t>unidad</t>
        </is>
      </c>
      <c r="E7" t="n">
        <v>300</v>
      </c>
      <c r="F7" t="n">
        <v>1200000</v>
      </c>
      <c r="G7">
        <f>C7*E7</f>
        <v/>
      </c>
      <c r="H7">
        <f>C7*F7</f>
        <v/>
      </c>
      <c r="I7" t="n">
        <v>4</v>
      </c>
      <c r="J7" t="inlineStr">
        <is>
          <t>IMPCO / BRC</t>
        </is>
      </c>
      <c r="K7" t="inlineStr">
        <is>
          <t>SHUT-200</t>
        </is>
      </c>
      <c r="L7" t="inlineStr"/>
    </row>
    <row r="8">
      <c r="A8" t="n">
        <v>7</v>
      </c>
      <c r="B8" t="inlineStr">
        <is>
          <t>Válvulas de alivio de presión, 220 bar</t>
        </is>
      </c>
      <c r="C8" t="n">
        <v>3</v>
      </c>
      <c r="D8" t="inlineStr">
        <is>
          <t>unidad</t>
        </is>
      </c>
      <c r="E8" t="n">
        <v>200</v>
      </c>
      <c r="F8" t="n">
        <v>800000</v>
      </c>
      <c r="G8">
        <f>C8*E8</f>
        <v/>
      </c>
      <c r="H8">
        <f>C8*F8</f>
        <v/>
      </c>
      <c r="I8" t="n">
        <v>4</v>
      </c>
      <c r="J8" t="inlineStr">
        <is>
          <t>IMPCO / BRC</t>
        </is>
      </c>
      <c r="K8" t="inlineStr">
        <is>
          <t>RELIEF-220</t>
        </is>
      </c>
      <c r="L8" t="inlineStr"/>
    </row>
    <row r="9">
      <c r="A9" t="n">
        <v>8</v>
      </c>
      <c r="B9" t="inlineStr">
        <is>
          <t>Manifold de distribución (conexión múltiple tanques)</t>
        </is>
      </c>
      <c r="C9" t="n">
        <v>1</v>
      </c>
      <c r="D9" t="inlineStr">
        <is>
          <t>unidad</t>
        </is>
      </c>
      <c r="E9" t="n">
        <v>500</v>
      </c>
      <c r="F9" t="n">
        <v>2000000</v>
      </c>
      <c r="G9">
        <f>C9*E9</f>
        <v/>
      </c>
      <c r="H9">
        <f>C9*F9</f>
        <v/>
      </c>
      <c r="I9" t="n">
        <v>6</v>
      </c>
      <c r="J9" t="inlineStr">
        <is>
          <t>Fabricación local</t>
        </is>
      </c>
      <c r="K9" t="inlineStr">
        <is>
          <t>MAN-23</t>
        </is>
      </c>
      <c r="L9" t="inlineStr">
        <is>
          <t>Cotizar localmente</t>
        </is>
      </c>
    </row>
    <row r="10">
      <c r="A10" t="n">
        <v>9</v>
      </c>
      <c r="B10" t="inlineStr">
        <is>
          <t>ECU (Engine Control Unit) para GNV</t>
        </is>
      </c>
      <c r="C10" t="n">
        <v>1</v>
      </c>
      <c r="D10" t="inlineStr">
        <is>
          <t>unidad</t>
        </is>
      </c>
      <c r="E10" t="n">
        <v>1500</v>
      </c>
      <c r="F10" t="n">
        <v>6000000</v>
      </c>
      <c r="G10">
        <f>C10*E10</f>
        <v/>
      </c>
      <c r="H10">
        <f>C10*F10</f>
        <v/>
      </c>
      <c r="I10" t="n">
        <v>8</v>
      </c>
      <c r="J10" t="inlineStr">
        <is>
          <t>IMPCO / BRC / Landi Renzo</t>
        </is>
      </c>
      <c r="K10" t="inlineStr">
        <is>
          <t>ECU-GNV-PRO</t>
        </is>
      </c>
      <c r="L10" t="inlineStr"/>
    </row>
    <row r="11">
      <c r="A11" t="n">
        <v>10</v>
      </c>
      <c r="B11" t="inlineStr">
        <is>
          <t>Inyectores de gas secuenciales (set 6 unidades)</t>
        </is>
      </c>
      <c r="C11" t="n">
        <v>1</v>
      </c>
      <c r="D11" t="inlineStr">
        <is>
          <t>set</t>
        </is>
      </c>
      <c r="E11" t="n">
        <v>800</v>
      </c>
      <c r="F11" t="n">
        <v>3200000</v>
      </c>
      <c r="G11">
        <f>C11*E11</f>
        <v/>
      </c>
      <c r="H11">
        <f>C11*F11</f>
        <v/>
      </c>
      <c r="I11" t="n">
        <v>6</v>
      </c>
      <c r="J11" t="inlineStr">
        <is>
          <t>IMPCO / BRC</t>
        </is>
      </c>
      <c r="K11" t="inlineStr">
        <is>
          <t>INJ-SEQ-6</t>
        </is>
      </c>
      <c r="L11" t="inlineStr"/>
    </row>
    <row r="12">
      <c r="A12" t="n">
        <v>11</v>
      </c>
      <c r="B12" t="inlineStr">
        <is>
          <t>Sensores: Presión (3 unidades)</t>
        </is>
      </c>
      <c r="C12" t="n">
        <v>3</v>
      </c>
      <c r="D12" t="inlineStr">
        <is>
          <t>unidad</t>
        </is>
      </c>
      <c r="E12" t="n">
        <v>80</v>
      </c>
      <c r="F12" t="n">
        <v>320000</v>
      </c>
      <c r="G12">
        <f>C12*E12</f>
        <v/>
      </c>
      <c r="H12">
        <f>C12*F12</f>
        <v/>
      </c>
      <c r="I12" t="n">
        <v>4</v>
      </c>
      <c r="J12" t="inlineStr">
        <is>
          <t>IMPCO / BRC</t>
        </is>
      </c>
      <c r="K12" t="inlineStr">
        <is>
          <t>SENS-P-200</t>
        </is>
      </c>
      <c r="L12" t="inlineStr"/>
    </row>
    <row r="13">
      <c r="A13" t="n">
        <v>12</v>
      </c>
      <c r="B13" t="inlineStr">
        <is>
          <t>Sensores: Temperatura (2 unidades)</t>
        </is>
      </c>
      <c r="C13" t="n">
        <v>2</v>
      </c>
      <c r="D13" t="inlineStr">
        <is>
          <t>unidad</t>
        </is>
      </c>
      <c r="E13" t="n">
        <v>60</v>
      </c>
      <c r="F13" t="n">
        <v>240000</v>
      </c>
      <c r="G13">
        <f>C13*E13</f>
        <v/>
      </c>
      <c r="H13">
        <f>C13*F13</f>
        <v/>
      </c>
      <c r="I13" t="n">
        <v>4</v>
      </c>
      <c r="J13" t="inlineStr">
        <is>
          <t>IMPCO / BRC</t>
        </is>
      </c>
      <c r="K13" t="inlineStr">
        <is>
          <t>SENS-T</t>
        </is>
      </c>
      <c r="L13" t="inlineStr"/>
    </row>
    <row r="14">
      <c r="A14" t="n">
        <v>13</v>
      </c>
      <c r="B14" t="inlineStr">
        <is>
          <t>Sensor lambda (O2)</t>
        </is>
      </c>
      <c r="C14" t="n">
        <v>1</v>
      </c>
      <c r="D14" t="inlineStr">
        <is>
          <t>unidad</t>
        </is>
      </c>
      <c r="E14" t="n">
        <v>150</v>
      </c>
      <c r="F14" t="n">
        <v>600000</v>
      </c>
      <c r="G14">
        <f>C14*E14</f>
        <v/>
      </c>
      <c r="H14">
        <f>C14*F14</f>
        <v/>
      </c>
      <c r="I14" t="n">
        <v>4</v>
      </c>
      <c r="J14" t="inlineStr">
        <is>
          <t>IMPCO / BRC</t>
        </is>
      </c>
      <c r="K14" t="inlineStr">
        <is>
          <t>SENS-LAMBDA</t>
        </is>
      </c>
      <c r="L14" t="inlineStr"/>
    </row>
    <row r="15">
      <c r="A15" t="n">
        <v>14</v>
      </c>
      <c r="B15" t="inlineStr">
        <is>
          <t>Cableado y conectores (kit completo)</t>
        </is>
      </c>
      <c r="C15" t="n">
        <v>1</v>
      </c>
      <c r="D15" t="inlineStr">
        <is>
          <t>kit</t>
        </is>
      </c>
      <c r="E15" t="n">
        <v>300</v>
      </c>
      <c r="F15" t="n">
        <v>1200000</v>
      </c>
      <c r="G15">
        <f>C15*E15</f>
        <v/>
      </c>
      <c r="H15">
        <f>C15*F15</f>
        <v/>
      </c>
      <c r="I15" t="n">
        <v>2</v>
      </c>
      <c r="J15" t="inlineStr">
        <is>
          <t>Fabricación local</t>
        </is>
      </c>
      <c r="K15" t="inlineStr">
        <is>
          <t>CAB-GNV-KIT</t>
        </is>
      </c>
      <c r="L15" t="inlineStr">
        <is>
          <t>Cotizar localmente</t>
        </is>
      </c>
    </row>
    <row r="16">
      <c r="A16" t="n">
        <v>15</v>
      </c>
      <c r="B16" t="inlineStr">
        <is>
          <t>Tubería y conexiones alta presión (200 bar)</t>
        </is>
      </c>
      <c r="C16" t="n">
        <v>1</v>
      </c>
      <c r="D16" t="inlineStr">
        <is>
          <t>lote</t>
        </is>
      </c>
      <c r="E16" t="n">
        <v>400</v>
      </c>
      <c r="F16" t="n">
        <v>1600000</v>
      </c>
      <c r="G16">
        <f>C16*E16</f>
        <v/>
      </c>
      <c r="H16">
        <f>C16*F16</f>
        <v/>
      </c>
      <c r="I16" t="n">
        <v>4</v>
      </c>
      <c r="J16" t="inlineStr">
        <is>
          <t>Fabricación local</t>
        </is>
      </c>
      <c r="K16" t="inlineStr">
        <is>
          <t>TUB-HP-KIT</t>
        </is>
      </c>
      <c r="L16" t="inlineStr">
        <is>
          <t>Cotizar localmente</t>
        </is>
      </c>
    </row>
    <row r="17">
      <c r="A17" t="n">
        <v>16</v>
      </c>
      <c r="B17" t="inlineStr">
        <is>
          <t>Tubería y conexiones media presión (20-40 bar)</t>
        </is>
      </c>
      <c r="C17" t="n">
        <v>1</v>
      </c>
      <c r="D17" t="inlineStr">
        <is>
          <t>lote</t>
        </is>
      </c>
      <c r="E17" t="n">
        <v>200</v>
      </c>
      <c r="F17" t="n">
        <v>800000</v>
      </c>
      <c r="G17">
        <f>C17*E17</f>
        <v/>
      </c>
      <c r="H17">
        <f>C17*F17</f>
        <v/>
      </c>
      <c r="I17" t="n">
        <v>4</v>
      </c>
      <c r="J17" t="inlineStr">
        <is>
          <t>Fabricación local</t>
        </is>
      </c>
      <c r="K17" t="inlineStr">
        <is>
          <t>TUB-MP-KIT</t>
        </is>
      </c>
      <c r="L17" t="inlineStr">
        <is>
          <t>Cotizar localmente</t>
        </is>
      </c>
    </row>
    <row r="18">
      <c r="A18" t="n">
        <v>17</v>
      </c>
      <c r="B18" t="inlineStr">
        <is>
          <t>Tubería y conexiones baja presión (7-10 bar)</t>
        </is>
      </c>
      <c r="C18" t="n">
        <v>1</v>
      </c>
      <c r="D18" t="inlineStr">
        <is>
          <t>lote</t>
        </is>
      </c>
      <c r="E18" t="n">
        <v>150</v>
      </c>
      <c r="F18" t="n">
        <v>600000</v>
      </c>
      <c r="G18">
        <f>C18*E18</f>
        <v/>
      </c>
      <c r="H18">
        <f>C18*F18</f>
        <v/>
      </c>
      <c r="I18" t="n">
        <v>4</v>
      </c>
      <c r="J18" t="inlineStr">
        <is>
          <t>Fabricación local</t>
        </is>
      </c>
      <c r="K18" t="inlineStr">
        <is>
          <t>TUB-LP-KIT</t>
        </is>
      </c>
      <c r="L18" t="inlineStr">
        <is>
          <t>Cotizar localmente</t>
        </is>
      </c>
    </row>
    <row r="19">
      <c r="A19" t="n">
        <v>18</v>
      </c>
      <c r="B19" t="inlineStr">
        <is>
          <t>Válvula de llenado (receptáculo)</t>
        </is>
      </c>
      <c r="C19" t="n">
        <v>1</v>
      </c>
      <c r="D19" t="inlineStr">
        <is>
          <t>unidad</t>
        </is>
      </c>
      <c r="E19" t="n">
        <v>250</v>
      </c>
      <c r="F19" t="n">
        <v>1000000</v>
      </c>
      <c r="G19">
        <f>C19*E19</f>
        <v/>
      </c>
      <c r="H19">
        <f>C19*F19</f>
        <v/>
      </c>
      <c r="I19" t="n">
        <v>4</v>
      </c>
      <c r="J19" t="inlineStr">
        <is>
          <t>IMPCO / BRC</t>
        </is>
      </c>
      <c r="K19" t="inlineStr">
        <is>
          <t>FILL-RECEPT</t>
        </is>
      </c>
      <c r="L19" t="inlineStr"/>
    </row>
    <row r="20">
      <c r="A20" t="n">
        <v>19</v>
      </c>
      <c r="B20" t="inlineStr">
        <is>
          <t>Manómetros y indicadores</t>
        </is>
      </c>
      <c r="C20" t="n">
        <v>3</v>
      </c>
      <c r="D20" t="inlineStr">
        <is>
          <t>unidad</t>
        </is>
      </c>
      <c r="E20" t="n">
        <v>100</v>
      </c>
      <c r="F20" t="n">
        <v>400000</v>
      </c>
      <c r="G20">
        <f>C20*E20</f>
        <v/>
      </c>
      <c r="H20">
        <f>C20*F20</f>
        <v/>
      </c>
      <c r="I20" t="n">
        <v>4</v>
      </c>
      <c r="J20" t="inlineStr">
        <is>
          <t>Fabricación local</t>
        </is>
      </c>
      <c r="K20" t="inlineStr">
        <is>
          <t>MANO-200</t>
        </is>
      </c>
      <c r="L20" t="inlineStr">
        <is>
          <t>Cotizar localmente</t>
        </is>
      </c>
    </row>
    <row r="21">
      <c r="A21" t="n">
        <v>20</v>
      </c>
      <c r="B21" t="inlineStr">
        <is>
          <t>Sistema de montaje y fijación (soportes adicionales)</t>
        </is>
      </c>
      <c r="C21" t="n">
        <v>1</v>
      </c>
      <c r="D21" t="inlineStr">
        <is>
          <t>lote</t>
        </is>
      </c>
      <c r="E21" t="n">
        <v>500</v>
      </c>
      <c r="F21" t="n">
        <v>2000000</v>
      </c>
      <c r="G21">
        <f>C21*E21</f>
        <v/>
      </c>
      <c r="H21">
        <f>C21*F21</f>
        <v/>
      </c>
      <c r="I21" t="n">
        <v>4</v>
      </c>
      <c r="J21" t="inlineStr">
        <is>
          <t>Fabricación local</t>
        </is>
      </c>
      <c r="K21" t="inlineStr">
        <is>
          <t>MOUNT-KIT</t>
        </is>
      </c>
      <c r="L21" t="inlineStr">
        <is>
          <t>Cotizar localmente</t>
        </is>
      </c>
    </row>
    <row r="22">
      <c r="A22" t="n">
        <v>21</v>
      </c>
      <c r="B22" t="inlineStr">
        <is>
          <t>Mano de obra instalación</t>
        </is>
      </c>
      <c r="C22" t="n">
        <v>1</v>
      </c>
      <c r="D22" t="inlineStr">
        <is>
          <t>unidad</t>
        </is>
      </c>
      <c r="E22" t="n">
        <v>2000</v>
      </c>
      <c r="F22" t="n">
        <v>8000000</v>
      </c>
      <c r="G22">
        <f>C22*E22</f>
        <v/>
      </c>
      <c r="H22">
        <f>C22*F22</f>
        <v/>
      </c>
      <c r="I22" t="n">
        <v>2</v>
      </c>
      <c r="J22" t="inlineStr">
        <is>
          <t>Taller certificado</t>
        </is>
      </c>
      <c r="K22" t="inlineStr">
        <is>
          <t>LABOR</t>
        </is>
      </c>
      <c r="L22" t="inlineStr">
        <is>
          <t>Cotizar con taller certificado</t>
        </is>
      </c>
    </row>
    <row r="23">
      <c r="A23" t="n">
        <v>22</v>
      </c>
      <c r="B23" t="inlineStr">
        <is>
          <t>Pruebas y puesta en marcha</t>
        </is>
      </c>
      <c r="C23" t="n">
        <v>1</v>
      </c>
      <c r="D23" t="inlineStr">
        <is>
          <t>unidad</t>
        </is>
      </c>
      <c r="E23" t="n">
        <v>500</v>
      </c>
      <c r="F23" t="n">
        <v>2000000</v>
      </c>
      <c r="G23">
        <f>C23*E23</f>
        <v/>
      </c>
      <c r="H23">
        <f>C23*F23</f>
        <v/>
      </c>
      <c r="I23" t="n">
        <v>1</v>
      </c>
      <c r="J23" t="inlineStr">
        <is>
          <t>Taller certificado</t>
        </is>
      </c>
      <c r="K23" t="inlineStr">
        <is>
          <t>TEST</t>
        </is>
      </c>
      <c r="L23" t="inlineStr">
        <is>
          <t>Cotizar con taller certificado</t>
        </is>
      </c>
    </row>
    <row r="24">
      <c r="A24" t="n">
        <v>23</v>
      </c>
      <c r="B24" t="inlineStr">
        <is>
          <t>Homologación e inspección técnica</t>
        </is>
      </c>
      <c r="C24" t="n">
        <v>1</v>
      </c>
      <c r="D24" t="inlineStr">
        <is>
          <t>unidad</t>
        </is>
      </c>
      <c r="E24" t="n">
        <v>300</v>
      </c>
      <c r="F24" t="n">
        <v>1200000</v>
      </c>
      <c r="G24">
        <f>C24*E24</f>
        <v/>
      </c>
      <c r="H24">
        <f>C24*F24</f>
        <v/>
      </c>
      <c r="I24" t="n">
        <v>2</v>
      </c>
      <c r="J24" t="inlineStr">
        <is>
          <t>Entidad certificadora</t>
        </is>
      </c>
      <c r="K24" t="inlineStr">
        <is>
          <t>HOMOL</t>
        </is>
      </c>
      <c r="L24" t="inlineStr">
        <is>
          <t>Cotizar con entidad certificadora</t>
        </is>
      </c>
    </row>
    <row r="25">
      <c r="A25" s="2" t="inlineStr"/>
      <c r="B25" t="inlineStr"/>
      <c r="C25" t="inlineStr"/>
      <c r="D25" t="inlineStr"/>
      <c r="E25" t="inlineStr"/>
      <c r="F25" t="inlineStr"/>
      <c r="G25" s="3" t="inlineStr"/>
      <c r="H25" s="3" t="inlineStr"/>
      <c r="I25" t="inlineStr"/>
      <c r="J25" t="inlineStr"/>
      <c r="K25" t="inlineStr"/>
      <c r="L25" t="inlineStr"/>
    </row>
    <row r="26">
      <c r="A26" s="2" t="inlineStr">
        <is>
          <t>SUBTOTAL</t>
        </is>
      </c>
      <c r="B26" t="inlineStr"/>
      <c r="C26" t="inlineStr"/>
      <c r="D26" t="inlineStr"/>
      <c r="E26" t="inlineStr"/>
      <c r="F26" t="inlineStr"/>
      <c r="G26" s="3">
        <f>SUM(G2:G24)</f>
        <v/>
      </c>
      <c r="H26" s="3">
        <f>SUM(H2:H24)</f>
        <v/>
      </c>
      <c r="I26" t="inlineStr"/>
      <c r="J26" t="inlineStr"/>
      <c r="K26" t="inlineStr"/>
      <c r="L26" t="inlineStr"/>
    </row>
    <row r="27">
      <c r="A27" s="2" t="inlineStr">
        <is>
          <t>CONTINGENCIA (15%)</t>
        </is>
      </c>
      <c r="B27" t="inlineStr"/>
      <c r="C27" t="inlineStr"/>
      <c r="D27" t="inlineStr"/>
      <c r="E27" t="inlineStr"/>
      <c r="F27" t="inlineStr"/>
      <c r="G27" s="3">
        <f>G25*0.15</f>
        <v/>
      </c>
      <c r="H27" s="3">
        <f>H25*0.15</f>
        <v/>
      </c>
      <c r="I27" t="inlineStr"/>
      <c r="J27" t="inlineStr"/>
      <c r="K27" t="inlineStr"/>
      <c r="L27" t="inlineStr"/>
    </row>
    <row r="28">
      <c r="A28" s="2" t="inlineStr">
        <is>
          <t>SUBTOTAL + CONTINGENCIA</t>
        </is>
      </c>
      <c r="B28" t="inlineStr"/>
      <c r="C28" t="inlineStr"/>
      <c r="D28" t="inlineStr"/>
      <c r="E28" t="inlineStr"/>
      <c r="F28" t="inlineStr"/>
      <c r="G28" s="3">
        <f>G25+G26</f>
        <v/>
      </c>
      <c r="H28" s="3">
        <f>H25+H26</f>
        <v/>
      </c>
      <c r="I28" t="inlineStr"/>
      <c r="J28" t="inlineStr"/>
      <c r="K28" t="inlineStr"/>
      <c r="L28" t="inlineStr"/>
    </row>
    <row r="29">
      <c r="A29" s="2" t="inlineStr">
        <is>
          <t>MARGEN (20%)</t>
        </is>
      </c>
      <c r="B29" t="inlineStr"/>
      <c r="C29" t="inlineStr"/>
      <c r="D29" t="inlineStr"/>
      <c r="E29" t="inlineStr"/>
      <c r="F29" t="inlineStr"/>
      <c r="G29" s="3">
        <f>G27*0.20</f>
        <v/>
      </c>
      <c r="H29" s="3">
        <f>H27*0.20</f>
        <v/>
      </c>
      <c r="I29" t="inlineStr"/>
      <c r="J29" t="inlineStr"/>
      <c r="K29" t="inlineStr"/>
      <c r="L29" t="inlineStr"/>
    </row>
    <row r="30">
      <c r="A30" t="inlineStr">
        <is>
          <t>TOTAL FINAL</t>
        </is>
      </c>
      <c r="B30" t="inlineStr"/>
      <c r="C30" t="inlineStr"/>
      <c r="D30" t="inlineStr"/>
      <c r="E30" t="inlineStr"/>
      <c r="F30" t="inlineStr"/>
      <c r="G30">
        <f>G27+G28</f>
        <v/>
      </c>
      <c r="H30">
        <f>H27+H28</f>
        <v/>
      </c>
      <c r="I30" t="inlineStr"/>
      <c r="J30" t="inlineStr"/>
      <c r="K30" t="inlineStr"/>
      <c r="L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ANÁLISIS DE SENSIBILIDAD - VARIACIÓN DE CONSUMO</t>
        </is>
      </c>
      <c r="B1" s="4" t="n"/>
      <c r="C1" s="4" t="n"/>
      <c r="D1" s="4" t="n"/>
      <c r="E1" s="4" t="n"/>
      <c r="F1" s="4" t="n"/>
      <c r="G1" s="4" t="n"/>
    </row>
    <row r="2">
      <c r="A2" t="inlineStr">
        <is>
          <t>Configuración: Tractor 4x2, Autonomía: 800 km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4" t="inlineStr">
        <is>
          <t>Variación</t>
        </is>
      </c>
      <c r="B4" s="4" t="inlineStr">
        <is>
          <t>Consumo (L/100km)</t>
        </is>
      </c>
      <c r="C4" s="4" t="inlineStr">
        <is>
          <t>Energía (MJ)</t>
        </is>
      </c>
      <c r="D4" s="4" t="inlineStr">
        <is>
          <t>Masa CH4 (kg)</t>
        </is>
      </c>
      <c r="E4" s="4" t="inlineStr">
        <is>
          <t>Volumen (m³)</t>
        </is>
      </c>
      <c r="F4" s="4" t="inlineStr">
        <is>
          <t>N° Tanques</t>
        </is>
      </c>
      <c r="G4" s="4" t="inlineStr">
        <is>
          <t>Peso (kg)</t>
        </is>
      </c>
    </row>
    <row r="5">
      <c r="A5" t="inlineStr">
        <is>
          <t>-20%</t>
        </is>
      </c>
      <c r="B5" t="n">
        <v>28</v>
      </c>
      <c r="C5" t="n">
        <v>8019.199999999999</v>
      </c>
      <c r="D5" t="n">
        <v>160.384</v>
      </c>
      <c r="E5" t="n">
        <v>1.457249918028458</v>
      </c>
      <c r="F5" t="n">
        <v>19</v>
      </c>
      <c r="G5" t="n">
        <v>1520</v>
      </c>
    </row>
    <row r="6">
      <c r="A6" t="inlineStr">
        <is>
          <t>-10%</t>
        </is>
      </c>
      <c r="B6" t="n">
        <v>31.5</v>
      </c>
      <c r="C6" t="n">
        <v>9021.599999999999</v>
      </c>
      <c r="D6" t="n">
        <v>180.432</v>
      </c>
      <c r="E6" t="n">
        <v>1.639406157782015</v>
      </c>
      <c r="F6" t="n">
        <v>21</v>
      </c>
      <c r="G6" t="n">
        <v>1680</v>
      </c>
    </row>
    <row r="7">
      <c r="A7" t="inlineStr">
        <is>
          <t>+0%</t>
        </is>
      </c>
      <c r="B7" t="n">
        <v>35</v>
      </c>
      <c r="C7" t="n">
        <v>10024</v>
      </c>
      <c r="D7" t="n">
        <v>200.48</v>
      </c>
      <c r="E7" t="n">
        <v>1.821562397535573</v>
      </c>
      <c r="F7" t="n">
        <v>23</v>
      </c>
      <c r="G7" t="n">
        <v>1840</v>
      </c>
    </row>
    <row r="8">
      <c r="A8" t="inlineStr">
        <is>
          <t>+10%</t>
        </is>
      </c>
      <c r="B8" t="n">
        <v>38.5</v>
      </c>
      <c r="C8" t="n">
        <v>11026.4</v>
      </c>
      <c r="D8" t="n">
        <v>220.528</v>
      </c>
      <c r="E8" t="n">
        <v>2.00371863728913</v>
      </c>
      <c r="F8" t="n">
        <v>26</v>
      </c>
      <c r="G8" t="n">
        <v>2080</v>
      </c>
    </row>
    <row r="9">
      <c r="A9" t="inlineStr">
        <is>
          <t>+20%</t>
        </is>
      </c>
      <c r="B9" t="n">
        <v>42</v>
      </c>
      <c r="C9" t="n">
        <v>12028.8</v>
      </c>
      <c r="D9" t="n">
        <v>240.576</v>
      </c>
      <c r="E9" t="n">
        <v>2.185874877042687</v>
      </c>
      <c r="F9" t="n">
        <v>28</v>
      </c>
      <c r="G9" t="n">
        <v>2240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ANÁLISIS DE SENSIBILIDAD - VARIACIÓN DE AUTONOMÍA</t>
        </is>
      </c>
    </row>
    <row r="12">
      <c r="A12" t="inlineStr">
        <is>
          <t>Configuración: Tractor 4x2, Consumo: 35 L/100km</t>
        </is>
      </c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n"/>
    </row>
    <row r="14">
      <c r="A14" t="inlineStr">
        <is>
          <t>Variación</t>
        </is>
      </c>
      <c r="B14" t="inlineStr">
        <is>
          <t>Autonomía (km)</t>
        </is>
      </c>
      <c r="C14" t="inlineStr">
        <is>
          <t>Energía (MJ)</t>
        </is>
      </c>
      <c r="D14" t="inlineStr">
        <is>
          <t>Masa CH4 (kg)</t>
        </is>
      </c>
      <c r="E14" t="inlineStr">
        <is>
          <t>Volumen (m³)</t>
        </is>
      </c>
      <c r="F14" t="inlineStr">
        <is>
          <t>N° Tanques</t>
        </is>
      </c>
      <c r="G14" t="inlineStr">
        <is>
          <t>Peso (kg)</t>
        </is>
      </c>
    </row>
    <row r="15">
      <c r="A15" t="inlineStr">
        <is>
          <t>-20%</t>
        </is>
      </c>
      <c r="B15" t="n">
        <v>640</v>
      </c>
      <c r="C15" t="n">
        <v>8019.199999999999</v>
      </c>
      <c r="D15" t="n">
        <v>160.384</v>
      </c>
      <c r="E15" t="n">
        <v>1.457249918028458</v>
      </c>
      <c r="F15" t="n">
        <v>19</v>
      </c>
      <c r="G15" t="n">
        <v>1520</v>
      </c>
    </row>
    <row r="16">
      <c r="A16" s="4" t="inlineStr">
        <is>
          <t>-10%</t>
        </is>
      </c>
      <c r="B16" s="4" t="n">
        <v>720</v>
      </c>
      <c r="C16" s="4" t="n">
        <v>9021.599999999999</v>
      </c>
      <c r="D16" s="4" t="n">
        <v>180.432</v>
      </c>
      <c r="E16" s="4" t="n">
        <v>1.639406157782015</v>
      </c>
      <c r="F16" s="4" t="n">
        <v>21</v>
      </c>
      <c r="G16" s="4" t="n">
        <v>1680</v>
      </c>
    </row>
    <row r="17">
      <c r="A17" t="inlineStr">
        <is>
          <t>+0%</t>
        </is>
      </c>
      <c r="B17" t="n">
        <v>800</v>
      </c>
      <c r="C17" t="n">
        <v>10024</v>
      </c>
      <c r="D17" t="n">
        <v>200.48</v>
      </c>
      <c r="E17" t="n">
        <v>1.821562397535573</v>
      </c>
      <c r="F17" t="n">
        <v>23</v>
      </c>
      <c r="G17" t="n">
        <v>1840</v>
      </c>
    </row>
    <row r="18">
      <c r="A18" t="inlineStr">
        <is>
          <t>+10%</t>
        </is>
      </c>
      <c r="B18" t="n">
        <v>880.0000000000001</v>
      </c>
      <c r="C18" t="n">
        <v>11026.4</v>
      </c>
      <c r="D18" t="n">
        <v>220.528</v>
      </c>
      <c r="E18" t="n">
        <v>2.00371863728913</v>
      </c>
      <c r="F18" t="n">
        <v>26</v>
      </c>
      <c r="G18" t="n">
        <v>2080</v>
      </c>
    </row>
    <row r="19">
      <c r="A19" t="inlineStr">
        <is>
          <t>+20%</t>
        </is>
      </c>
      <c r="B19" t="n">
        <v>960</v>
      </c>
      <c r="C19" t="n">
        <v>12028.8</v>
      </c>
      <c r="D19" t="n">
        <v>240.576</v>
      </c>
      <c r="E19" t="n">
        <v>2.185874877042687</v>
      </c>
      <c r="F19" t="n">
        <v>28</v>
      </c>
      <c r="G19" t="n">
        <v>2240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ANÁLISIS DE SENSIBILIDAD - VARIACIÓN DE PRESIÓN</t>
        </is>
      </c>
    </row>
    <row r="22">
      <c r="A22" t="inlineStr">
        <is>
          <t>Configuración: Tractor 4x2, Masa CH4: 200.5 kg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Presión (bar)</t>
        </is>
      </c>
      <c r="B24" t="inlineStr">
        <is>
          <t>Presión (psi)</t>
        </is>
      </c>
      <c r="C24" t="inlineStr">
        <is>
          <t>Factor Z</t>
        </is>
      </c>
      <c r="D24" t="inlineStr">
        <is>
          <t>Volumen (m³)</t>
        </is>
      </c>
      <c r="E24" t="inlineStr">
        <is>
          <t>N° Tanques</t>
        </is>
      </c>
      <c r="F24" t="inlineStr">
        <is>
          <t>Reducción vs 200 bar</t>
        </is>
      </c>
    </row>
    <row r="25">
      <c r="A25" s="4" t="n">
        <v>200</v>
      </c>
      <c r="B25" s="4" t="n">
        <v>2900</v>
      </c>
      <c r="C25" s="4" t="n">
        <v>0.85</v>
      </c>
      <c r="D25" s="4" t="n">
        <v>1.821744117647059</v>
      </c>
      <c r="E25" s="4" t="n">
        <v>23</v>
      </c>
      <c r="F25" s="4" t="inlineStr">
        <is>
          <t>0.0%</t>
        </is>
      </c>
      <c r="G25" s="4" t="n"/>
    </row>
    <row r="26">
      <c r="A26" t="n">
        <v>250</v>
      </c>
      <c r="B26" t="n">
        <v>3625</v>
      </c>
      <c r="C26" t="n">
        <v>0.8</v>
      </c>
      <c r="D26" t="n">
        <v>1.5484825</v>
      </c>
      <c r="E26" t="n">
        <v>20</v>
      </c>
      <c r="F26" t="inlineStr">
        <is>
          <t>14.9%</t>
        </is>
      </c>
    </row>
    <row r="28">
      <c r="A28" s="4" t="n"/>
      <c r="B28" s="4" t="n"/>
      <c r="C28" s="4" t="n"/>
      <c r="D28" s="4" t="n"/>
      <c r="E28" s="4" t="n"/>
      <c r="F28" s="4" t="n"/>
      <c r="G2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5" t="inlineStr">
        <is>
          <t>RESUMEN EJECUTIVO - SISTEMA GNV PETROLIQUIDOS</t>
        </is>
      </c>
    </row>
    <row r="2">
      <c r="A2" t="inlineStr"/>
    </row>
    <row r="3">
      <c r="A3" t="inlineStr">
        <is>
          <t>Fecha de generación:</t>
        </is>
      </c>
      <c r="B3" t="inlineStr">
        <is>
          <t>2025-11-19 09:37:19</t>
        </is>
      </c>
    </row>
    <row r="4">
      <c r="A4" t="inlineStr"/>
    </row>
    <row r="5">
      <c r="A5" s="4" t="inlineStr">
        <is>
          <t>CONFIGURACIONES ANALIZADAS</t>
        </is>
      </c>
      <c r="B5" s="4" t="n"/>
      <c r="C5" s="4" t="n"/>
      <c r="D5" s="4" t="n"/>
      <c r="E5" s="4" t="n"/>
    </row>
    <row r="6">
      <c r="A6" t="inlineStr">
        <is>
          <t>Configuración</t>
        </is>
      </c>
      <c r="B6" t="inlineStr">
        <is>
          <t>N° Tanques</t>
        </is>
      </c>
      <c r="C6" t="inlineStr">
        <is>
          <t>Peso Adicional (kg)</t>
        </is>
      </c>
      <c r="D6" t="inlineStr">
        <is>
          <t>Volumen Total (m³)</t>
        </is>
      </c>
      <c r="E6" t="inlineStr">
        <is>
          <t>Costo Estimado (USD)</t>
        </is>
      </c>
    </row>
    <row r="7">
      <c r="A7" t="inlineStr">
        <is>
          <t>Tractor 4x2</t>
        </is>
      </c>
      <c r="B7" t="n">
        <v>23</v>
      </c>
      <c r="C7" t="n">
        <v>1840</v>
      </c>
      <c r="D7" t="n">
        <v>1.82</v>
      </c>
      <c r="E7" t="n">
        <v>35000</v>
      </c>
    </row>
    <row r="8">
      <c r="A8" t="inlineStr">
        <is>
          <t>Tractor 6x4</t>
        </is>
      </c>
      <c r="B8" t="n">
        <v>23</v>
      </c>
      <c r="C8" t="n">
        <v>1840</v>
      </c>
      <c r="D8" t="n">
        <v>1.82</v>
      </c>
      <c r="E8" t="n">
        <v>35000</v>
      </c>
    </row>
    <row r="9">
      <c r="A9" t="inlineStr">
        <is>
          <t>Volqueta 6x4</t>
        </is>
      </c>
      <c r="B9" t="n">
        <v>22</v>
      </c>
      <c r="C9" t="n">
        <v>1760</v>
      </c>
      <c r="D9" t="n">
        <v>1.76</v>
      </c>
      <c r="E9" t="n">
        <v>35000</v>
      </c>
    </row>
    <row r="10">
      <c r="A10" t="inlineStr"/>
    </row>
    <row r="11">
      <c r="A11" s="4" t="inlineStr">
        <is>
          <t>COSTOS ESTIMADOS (ver hoja BOM para detalle)</t>
        </is>
      </c>
      <c r="B11" s="4" t="n"/>
      <c r="C11" s="4" t="n"/>
      <c r="D11" s="4" t="n"/>
      <c r="E11" s="4" t="n"/>
    </row>
    <row r="12">
      <c r="A12" t="inlineStr">
        <is>
          <t>Concepto</t>
        </is>
      </c>
      <c r="B12" t="inlineStr">
        <is>
          <t>USD</t>
        </is>
      </c>
      <c r="C12" t="inlineStr">
        <is>
          <t>COP (tasa 4000)</t>
        </is>
      </c>
    </row>
    <row r="13">
      <c r="A13" s="4" t="inlineStr">
        <is>
          <t>Subtotal componentes</t>
        </is>
      </c>
      <c r="B13" s="4" t="n">
        <v>28000</v>
      </c>
      <c r="C13" s="4" t="n">
        <v>112000000</v>
      </c>
      <c r="D13" s="4" t="n"/>
      <c r="E13" s="4" t="n"/>
    </row>
    <row r="14">
      <c r="A14" t="inlineStr">
        <is>
          <t>Contingencia (15%)</t>
        </is>
      </c>
      <c r="B14" t="n">
        <v>4200</v>
      </c>
      <c r="C14" t="n">
        <v>16800000</v>
      </c>
    </row>
    <row r="15">
      <c r="A15" t="inlineStr">
        <is>
          <t>Subtotal + Contingencia</t>
        </is>
      </c>
      <c r="B15" t="n">
        <v>32200</v>
      </c>
      <c r="C15" t="n">
        <v>128800000</v>
      </c>
    </row>
    <row r="16">
      <c r="A16" t="inlineStr">
        <is>
          <t>Margen (20%)</t>
        </is>
      </c>
      <c r="B16" t="n">
        <v>6440</v>
      </c>
      <c r="C16" t="n">
        <v>25760000</v>
      </c>
    </row>
    <row r="17">
      <c r="A17" t="inlineStr">
        <is>
          <t>TOTAL ESTIMADO</t>
        </is>
      </c>
      <c r="B17" t="n">
        <v>38640</v>
      </c>
      <c r="C17" t="n">
        <v>154560000</v>
      </c>
    </row>
    <row r="18">
      <c r="A18" t="inlineStr"/>
    </row>
    <row r="19">
      <c r="A19" t="inlineStr">
        <is>
          <t>NOTAS IMPORTANTES</t>
        </is>
      </c>
    </row>
    <row r="20">
      <c r="A20" t="inlineStr">
        <is>
          <t>• Todos los precios son estimados y requieren validación con proveedores</t>
        </is>
      </c>
    </row>
    <row r="21">
      <c r="A21" t="inlineStr">
        <is>
          <t>• La tasa de cambio USD/COP debe actualizarse al momento de cotización</t>
        </is>
      </c>
    </row>
    <row r="22">
      <c r="A22" t="inlineStr">
        <is>
          <t>• Los consumos y autonomías son supuestos y requieren validación con cliente</t>
        </is>
      </c>
    </row>
    <row r="23">
      <c r="A23" t="inlineStr">
        <is>
          <t>• El número de tanques puede variar según disponibilidad de modelos</t>
        </is>
      </c>
    </row>
    <row r="24">
      <c r="A24" t="inlineStr">
        <is>
          <t>• Verificar disponibilidad de espacio en chasis para montaje de tanques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2025-11-19T14:37:19Z</dcterms:created>
  <dcterms:modified xmlns:dcterms="http://purl.org/dc/terms/" xmlns:xsi="http://www.w3.org/2001/XMLSchema-instance" xsi:type="dcterms:W3CDTF">2025-11-19T14:37:19Z</dcterms:modified>
</cp:coreProperties>
</file>